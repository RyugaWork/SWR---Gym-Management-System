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59077c1ab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List" sheetId="1" r:id="Rc692da29ddae4939"/>
    <x:sheet xmlns:r="http://schemas.openxmlformats.org/officeDocument/2006/relationships" name="Process Mapping" sheetId="2" r:id="R8d31da82cc884c83"/>
    <x:sheet xmlns:r="http://schemas.openxmlformats.org/officeDocument/2006/relationships" name="Meta data" sheetId="3" r:id="R25f0ae385404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Calibri"/>
    </x:font>
    <x:font>
      <x:b/>
      <x:sz val="14"/>
      <x:color rgb="FFFFFF"/>
      <x:name val="Calibri"/>
    </x:font>
    <x:font>
      <x:i/>
      <x:sz val="10"/>
      <x:color rgb="1F2937"/>
      <x:name val="Calibri"/>
    </x:font>
    <x:font>
      <x:b/>
      <x:sz val="10"/>
      <x:color rgb="FFFFFF"/>
      <x:name val="Calibri"/>
    </x:font>
    <x:font>
      <x:b/>
      <x:sz val="1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375623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435c717d74e16" /><Relationship Type="http://schemas.openxmlformats.org/officeDocument/2006/relationships/theme" Target="/xl/theme/theme1.xml" Id="R77957015fd5b4aff" /><Relationship Type="http://schemas.openxmlformats.org/officeDocument/2006/relationships/sharedStrings" Target="/xl/sharedStrings.xml" Id="R3437c5b8803948ed" /><Relationship Type="http://schemas.openxmlformats.org/officeDocument/2006/relationships/worksheet" Target="/xl/worksheets/sheet1.xml" Id="Rc692da29ddae4939" /><Relationship Type="http://schemas.openxmlformats.org/officeDocument/2006/relationships/worksheet" Target="/xl/worksheets/sheet2.xml" Id="R8d31da82cc884c83" /><Relationship Type="http://schemas.openxmlformats.org/officeDocument/2006/relationships/worksheet" Target="/xl/worksheets/sheet3.xml" Id="R25f0ae3854044ffd" /></Relationships>
</file>

<file path=xl/tables/table1.xml><?xml version="1.0" encoding="utf-8"?>
<x:table xmlns:x="http://schemas.openxmlformats.org/spreadsheetml/2006/main" id="1" name="GymAtomicFeatureTable" displayName="GymAtomicFeatureTable" ref="A4:I74" headerRowCount="1">
  <x:tableColumns count="9">
    <x:tableColumn id="1" name="#"/>
    <x:tableColumn id="2" name="System"/>
    <x:tableColumn id="3" name="Module"/>
    <x:tableColumn id="4" name="Purpose of Feature / Screen"/>
    <x:tableColumn id="5" name="Mapping Requirement"/>
    <x:tableColumn id="6" name="Main Feature"/>
    <x:tableColumn id="7" name="Sub Feature"/>
    <x:tableColumn id="8" name="Remark"/>
    <x:tableColumn id="9" name="User"/>
  </x:tableColumns>
  <x:tableStyleInfo name="TableStyleMedium2" showRowStripes="1"/>
</x:table>
</file>

<file path=xl/tables/table2.xml><?xml version="1.0" encoding="utf-8"?>
<x:table xmlns:x="http://schemas.openxmlformats.org/spreadsheetml/2006/main" id="2" name="ProcessCoverageTable" displayName="ProcessCoverageTable" ref="A4:E19" headerRowCount="1">
  <x:tableColumns count="5">
    <x:tableColumn id="1" name="#"/>
    <x:tableColumn id="2" name="Key Process in English"/>
    <x:tableColumn id="3" name="Process Coverage"/>
    <x:tableColumn id="4" name="Feature IDs"/>
    <x:tableColumn id="5" name="Coverag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a5da99c6e046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1e2f2bcf7145f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45" hidden="0" customWidth="1"/>
    <x:col min="5" max="5" width="32" hidden="0" customWidth="1"/>
    <x:col min="6" max="6" width="32" hidden="0" customWidth="1"/>
    <x:col min="7" max="7" width="55" hidden="0" customWidth="1"/>
    <x:col min="8" max="8" width="42" hidden="0" customWidth="1"/>
    <x:col min="9" max="9" width="24" hidden="0" customWidth="1"/>
    <x:col min="11" max="11" width="24" hidden="0" customWidth="1"/>
    <x:col min="12" max="12" width="28" hidden="0" customWidth="1"/>
  </x:cols>
  <x:sheetData>
    <x:row r="1" ht="26" customHeight="1">
      <x:c r="A1" s="7" t="str">
        <x:v>FEATURE LIST - GYM OPERATION SYSTEM</x:v>
      </x:c>
      <x:c r="B1" s="7"/>
      <x:c r="C1" s="7"/>
      <x:c r="D1" s="7"/>
      <x:c r="E1" s="7"/>
      <x:c r="F1" s="7"/>
      <x:c r="G1" s="7"/>
      <x:c r="H1" s="7"/>
      <x:c r="I1" s="7"/>
      <x:c r="J1" s="2"/>
      <x:c r="K1" s="36" t="str">
        <x:v>Summary</x:v>
      </x:c>
      <x:c r="L1" s="36" t="str">
        <x:v>Value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4" customHeight="1">
      <x:c r="A2" s="15" t="str">
        <x:v>Atomic English feature list revised to avoid generic "manage" wording and to split broad functions into smaller actions.</x:v>
      </x:c>
      <x:c r="B2" s="15"/>
      <x:c r="C2" s="15"/>
      <x:c r="D2" s="15"/>
      <x:c r="E2" s="15"/>
      <x:c r="F2" s="15"/>
      <x:c r="G2" s="15"/>
      <x:c r="H2" s="15"/>
      <x:c r="I2" s="15"/>
      <x:c r="J2" s="2"/>
      <x:c r="K2" s="41" t="str">
        <x:v>Total features</x:v>
      </x:c>
      <x:c r="L2" s="31" t="n">
        <x:f>COUNTA(A5:A74)</x:f>
        <x:v>70</x:v>
      </x:c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41" t="str">
        <x:v>Total processes covered</x:v>
      </x:c>
      <x:c r="L3" s="31" t="n">
        <x:f>COUNTA('Process Mapping'!A5:A19)</x:f>
        <x:v>15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8" customHeight="1">
      <x:c r="A4" s="24" t="str">
        <x:v>#</x:v>
      </x:c>
      <x:c r="B4" s="24" t="str">
        <x:v>System</x:v>
      </x:c>
      <x:c r="C4" s="24" t="str">
        <x:v>Module</x:v>
      </x:c>
      <x:c r="D4" s="24" t="str">
        <x:v>Purpose of Feature / Screen</x:v>
      </x:c>
      <x:c r="E4" s="24" t="str">
        <x:v>Mapping Requirement</x:v>
      </x:c>
      <x:c r="F4" s="24" t="str">
        <x:v>Main Feature</x:v>
      </x:c>
      <x:c r="G4" s="24" t="str">
        <x:v>Sub Feature</x:v>
      </x:c>
      <x:c r="H4" s="24" t="str">
        <x:v>Remark</x:v>
      </x:c>
      <x:c r="I4" s="24" t="str">
        <x:v>User</x:v>
      </x:c>
      <x:c r="J4" s="2"/>
      <x:c r="K4" s="41" t="str">
        <x:v>Total modules</x:v>
      </x:c>
      <x:c r="L4" s="31" t="n">
        <x:f>COUNTA(UNIQUE(C5:C74))</x:f>
        <x:v>15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1" t="n">
        <x:v>1</x:v>
      </x:c>
      <x:c r="B5" s="31" t="str">
        <x:v>Gym Operation System</x:v>
      </x:c>
      <x:c r="C5" s="31" t="str">
        <x:v>Account &amp; Authentication</x:v>
      </x:c>
      <x:c r="D5" s="31" t="str">
        <x:v>Allow a customer to access the customer web page with a valid account.</x:v>
      </x:c>
      <x:c r="E5" s="31" t="str">
        <x:v>Customer Account Creation</x:v>
      </x:c>
      <x:c r="F5" s="31" t="str">
        <x:v>Customer account registration</x:v>
      </x:c>
      <x:c r="G5" s="31" t="str">
        <x:v>Capture customer name, phone, email, password, and required profile fields; validate mandatory fields; create an active or pending customer account.</x:v>
      </x:c>
      <x:c r="H5" s="31" t="str">
        <x:v>Can be self-service or created by staff at the counter depending on business rule.</x:v>
      </x:c>
      <x:c r="I5" s="31" t="str">
        <x:v>Customer / Gym Staff</x:v>
      </x:c>
      <x:c r="J5" s="2"/>
      <x:c r="K5" s="41" t="str">
        <x:v>Primary actors/services</x:v>
      </x:c>
      <x:c r="L5" s="31" t="n">
        <x:f>COUNTA(UNIQUE(I5:I74))</x:f>
        <x:v>12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1" t="n">
        <x:v>2</x:v>
      </x:c>
      <x:c r="B6" s="31" t="str">
        <x:v>Gym Operation System</x:v>
      </x:c>
      <x:c r="C6" s="31" t="str">
        <x:v>Account &amp; Authentication</x:v>
      </x:c>
      <x:c r="D6" s="31" t="str">
        <x:v>Allow a customer to access the customer web page securely.</x:v>
      </x:c>
      <x:c r="E6" s="31" t="str">
        <x:v>Customer Account Login</x:v>
      </x:c>
      <x:c r="F6" s="31" t="str">
        <x:v>Customer sign-in</x:v>
      </x:c>
      <x:c r="G6" s="31" t="str">
        <x:v>Verify username, email, or phone with password; start a secure customer session after successful authentication.</x:v>
      </x:c>
      <x:c r="H6" s="31" t="str">
        <x:v>Failed login should show a clear error message without exposing security details.</x:v>
      </x:c>
      <x:c r="I6" s="31" t="str">
        <x:v>Customer</x:v>
      </x:c>
      <x:c r="J6" s="2"/>
      <x:c r="K6" s="41" t="str">
        <x:v>Generic wording check</x:v>
      </x:c>
      <x:c r="L6" s="31" t="str">
        <x:v>No generic manage wording in feature names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1" t="n">
        <x:v>3</x:v>
      </x:c>
      <x:c r="B7" s="31" t="str">
        <x:v>Gym Operation System</x:v>
      </x:c>
      <x:c r="C7" s="31" t="str">
        <x:v>Customer Profile</x:v>
      </x:c>
      <x:c r="D7" s="31" t="str">
        <x:v>Allow a customer to see stored personal information.</x:v>
      </x:c>
      <x:c r="E7" s="31" t="str">
        <x:v>Customer Account Profile Update</x:v>
      </x:c>
      <x:c r="F7" s="31" t="str">
        <x:v>Customer profile display</x:v>
      </x:c>
      <x:c r="G7" s="31" t="str">
        <x:v>Show name, phone, email, date of birth, gender, emergency contact, and membership summary on the customer profile screen.</x:v>
      </x:c>
      <x:c r="H7" s="31" t="str">
        <x:v>Customer can view only their own profile.</x:v>
      </x:c>
      <x:c r="I7" s="31" t="str">
        <x:v>Customer</x:v>
      </x:c>
      <x:c r="J7" s="2"/>
      <x:c r="K7" s="41" t="str">
        <x:v>Last updated</x:v>
      </x:c>
      <x:c r="L7" s="44" t="n">
        <x:v>46181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1" t="n">
        <x:v>4</x:v>
      </x:c>
      <x:c r="B8" s="31" t="str">
        <x:v>Gym Operation System</x:v>
      </x:c>
      <x:c r="C8" s="31" t="str">
        <x:v>Customer Profile</x:v>
      </x:c>
      <x:c r="D8" s="31" t="str">
        <x:v>Allow a customer to correct personal information.</x:v>
      </x:c>
      <x:c r="E8" s="31" t="str">
        <x:v>Customer Account Profile Update</x:v>
      </x:c>
      <x:c r="F8" s="31" t="str">
        <x:v>Customer profile update</x:v>
      </x:c>
      <x:c r="G8" s="31" t="str">
        <x:v>Edit allowed customer fields; validate phone, email, and required data; save the updated profile.</x:v>
      </x:c>
      <x:c r="H8" s="31" t="str">
        <x:v>Sensitive fields can require staff verification in a later rule.</x:v>
      </x:c>
      <x:c r="I8" s="31" t="str">
        <x:v>Customer</x:v>
      </x:c>
      <x:c r="J8" s="2"/>
      <x:c r="K8" s="41" t="str">
        <x:v>Output style</x:v>
      </x:c>
      <x:c r="L8" s="31" t="str">
        <x:v>Atomic functions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1" t="n">
        <x:v>5</x:v>
      </x:c>
      <x:c r="B9" s="31" t="str">
        <x:v>Gym Operation System</x:v>
      </x:c>
      <x:c r="C9" s="31" t="str">
        <x:v>PT Account</x:v>
      </x:c>
      <x:c r="D9" s="31" t="str">
        <x:v>Allow a personal trainer to request access to the PT web page.</x:v>
      </x:c>
      <x:c r="E9" s="31" t="str">
        <x:v>PT Account Registration and Approval</x:v>
      </x:c>
      <x:c r="F9" s="31" t="str">
        <x:v>PT account request submission</x:v>
      </x:c>
      <x:c r="G9" s="31" t="str">
        <x:v>Capture PT identity, contact details, specialization, experience, certification, and biography; submit the request with Pending status.</x:v>
      </x:c>
      <x:c r="H9" s="31" t="str">
        <x:v>The PT account must not be active before approval.</x:v>
      </x:c>
      <x:c r="I9" s="31" t="str">
        <x:v>Personal Trainer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1" t="n">
        <x:v>6</x:v>
      </x:c>
      <x:c r="B10" s="31" t="str">
        <x:v>Gym Operation System</x:v>
      </x:c>
      <x:c r="C10" s="31" t="str">
        <x:v>PT Account</x:v>
      </x:c>
      <x:c r="D10" s="31" t="str">
        <x:v>Allow a personal trainer to attach proof of qualification during sign-up.</x:v>
      </x:c>
      <x:c r="E10" s="31" t="str">
        <x:v>PT Account Registration and Approval</x:v>
      </x:c>
      <x:c r="F10" s="31" t="str">
        <x:v>PT qualification attachment upload</x:v>
      </x:c>
      <x:c r="G10" s="31" t="str">
        <x:v>Upload certification or qualification files and link them to the PT account request.</x:v>
      </x:c>
      <x:c r="H10" s="31" t="str">
        <x:v>File type and size rules should be defined during detailed requirement work.</x:v>
      </x:c>
      <x:c r="I10" s="31" t="str">
        <x:v>Personal Trainer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1" t="n">
        <x:v>7</x:v>
      </x:c>
      <x:c r="B11" s="31" t="str">
        <x:v>Gym Operation System</x:v>
      </x:c>
      <x:c r="C11" s="31" t="str">
        <x:v>PT Account</x:v>
      </x:c>
      <x:c r="D11" s="31" t="str">
        <x:v>Allow staff to inspect submitted PT account requests.</x:v>
      </x:c>
      <x:c r="E11" s="31" t="str">
        <x:v>PT Account Registration and Approval</x:v>
      </x:c>
      <x:c r="F11" s="31" t="str">
        <x:v>PT request review</x:v>
      </x:c>
      <x:c r="G11" s="31" t="str">
        <x:v>Display pending PT requests with profile details, contact data, specialization, and uploaded qualification evidence.</x:v>
      </x:c>
      <x:c r="H11" s="31" t="str">
        <x:v>Review screen should support status filtering.</x:v>
      </x:c>
      <x:c r="I11" s="31" t="str">
        <x:v>Gym Staff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1" t="n">
        <x:v>8</x:v>
      </x:c>
      <x:c r="B12" s="31" t="str">
        <x:v>Gym Operation System</x:v>
      </x:c>
      <x:c r="C12" s="31" t="str">
        <x:v>PT Account</x:v>
      </x:c>
      <x:c r="D12" s="31" t="str">
        <x:v>Allow staff to activate valid PT accounts.</x:v>
      </x:c>
      <x:c r="E12" s="31" t="str">
        <x:v>PT Account Registration and Approval</x:v>
      </x:c>
      <x:c r="F12" s="31" t="str">
        <x:v>PT account approval</x:v>
      </x:c>
      <x:c r="G12" s="31" t="str">
        <x:v>Change the PT request status from Pending to Approved, create login access, and allow PT profile visibility.</x:v>
      </x:c>
      <x:c r="H12" s="31" t="str">
        <x:v>Approval should be recorded for audit.</x:v>
      </x:c>
      <x:c r="I12" s="31" t="str">
        <x:v>Gym Staff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1" t="n">
        <x:v>9</x:v>
      </x:c>
      <x:c r="B13" s="31" t="str">
        <x:v>Gym Operation System</x:v>
      </x:c>
      <x:c r="C13" s="31" t="str">
        <x:v>PT Account</x:v>
      </x:c>
      <x:c r="D13" s="31" t="str">
        <x:v>Allow staff to reject invalid PT account requests.</x:v>
      </x:c>
      <x:c r="E13" s="31" t="str">
        <x:v>PT Account Registration and Approval</x:v>
      </x:c>
      <x:c r="F13" s="31" t="str">
        <x:v>PT account rejection</x:v>
      </x:c>
      <x:c r="G13" s="31" t="str">
        <x:v>Change the PT request status from Pending to Rejected and store the rejection reason.</x:v>
      </x:c>
      <x:c r="H13" s="31" t="str">
        <x:v>Rejected PT should be able to read or receive the decision reason if policy allows.</x:v>
      </x:c>
      <x:c r="I13" s="31" t="str">
        <x:v>Gym Staff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1" t="n">
        <x:v>10</x:v>
      </x:c>
      <x:c r="B14" s="31" t="str">
        <x:v>Gym Operation System</x:v>
      </x:c>
      <x:c r="C14" s="31" t="str">
        <x:v>Account &amp; Authentication</x:v>
      </x:c>
      <x:c r="D14" s="31" t="str">
        <x:v>Allow an approved personal trainer to access the PT web page.</x:v>
      </x:c>
      <x:c r="E14" s="31" t="str">
        <x:v>PT Account Registration and Approval</x:v>
      </x:c>
      <x:c r="F14" s="31" t="str">
        <x:v>PT sign-in</x:v>
      </x:c>
      <x:c r="G14" s="31" t="str">
        <x:v>Verify PT credentials and permit access only when the PT account status is Approved and Active.</x:v>
      </x:c>
      <x:c r="H14" s="31" t="str">
        <x:v>Pending or rejected accounts must not sign in.</x:v>
      </x:c>
      <x:c r="I14" s="31" t="str">
        <x:v>Personal Trainer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1" t="n">
        <x:v>11</x:v>
      </x:c>
      <x:c r="B15" s="31" t="str">
        <x:v>Gym Operation System</x:v>
      </x:c>
      <x:c r="C15" s="31" t="str">
        <x:v>PT Profile</x:v>
      </x:c>
      <x:c r="D15" s="31" t="str">
        <x:v>Allow a personal trainer to see their own public profile.</x:v>
      </x:c>
      <x:c r="E15" s="31" t="str">
        <x:v>PT Profile Update</x:v>
      </x:c>
      <x:c r="F15" s="31" t="str">
        <x:v>PT profile display</x:v>
      </x:c>
      <x:c r="G15" s="31" t="str">
        <x:v>Show biography, specialization, experience, contact details, qualification summary, and profile visibility status.</x:v>
      </x:c>
      <x:c r="H15" s="31" t="str">
        <x:v>Visible customer-facing information should be separated from private information.</x:v>
      </x:c>
      <x:c r="I15" s="31" t="str">
        <x:v>Personal Trainer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1" t="n">
        <x:v>12</x:v>
      </x:c>
      <x:c r="B16" s="31" t="str">
        <x:v>Gym Operation System</x:v>
      </x:c>
      <x:c r="C16" s="31" t="str">
        <x:v>PT Profile</x:v>
      </x:c>
      <x:c r="D16" s="31" t="str">
        <x:v>Allow a personal trainer to revise their profile information.</x:v>
      </x:c>
      <x:c r="E16" s="31" t="str">
        <x:v>PT Profile Update</x:v>
      </x:c>
      <x:c r="F16" s="31" t="str">
        <x:v>PT profile update</x:v>
      </x:c>
      <x:c r="G16" s="31" t="str">
        <x:v>Edit biography, specialization, experience, contact details, and displayed training focus; save changes after validation.</x:v>
      </x:c>
      <x:c r="H16" s="31" t="str">
        <x:v>Some changes can require staff review depending on business policy.</x:v>
      </x:c>
      <x:c r="I16" s="31" t="str">
        <x:v>Personal Trainer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1" t="n">
        <x:v>13</x:v>
      </x:c>
      <x:c r="B17" s="31" t="str">
        <x:v>Gym Operation System</x:v>
      </x:c>
      <x:c r="C17" s="31" t="str">
        <x:v>Membership</x:v>
      </x:c>
      <x:c r="D17" s="31" t="str">
        <x:v>Allow customers to compare available membership options.</x:v>
      </x:c>
      <x:c r="E17" s="31" t="str">
        <x:v>Membership Information</x:v>
      </x:c>
      <x:c r="F17" s="31" t="str">
        <x:v>Membership package list display</x:v>
      </x:c>
      <x:c r="G17" s="31" t="str">
        <x:v>Show package name, duration, price, benefits, and availability status.</x:v>
      </x:c>
      <x:c r="H17" s="31" t="str">
        <x:v>Inactive packages should be hidden from customer view.</x:v>
      </x:c>
      <x:c r="I17" s="31" t="str">
        <x:v>Customer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1" t="n">
        <x:v>14</x:v>
      </x:c>
      <x:c r="B18" s="31" t="str">
        <x:v>Gym Operation System</x:v>
      </x:c>
      <x:c r="C18" s="31" t="str">
        <x:v>Membership</x:v>
      </x:c>
      <x:c r="D18" s="31" t="str">
        <x:v>Allow customers to inspect one membership package before purchase or renewal.</x:v>
      </x:c>
      <x:c r="E18" s="31" t="str">
        <x:v>Membership Information</x:v>
      </x:c>
      <x:c r="F18" s="31" t="str">
        <x:v>Membership package detail display</x:v>
      </x:c>
      <x:c r="G18" s="31" t="str">
        <x:v>Show duration, price, benefits, restrictions, and terms for the selected membership package.</x:v>
      </x:c>
      <x:c r="H18" s="31" t="str">
        <x:v>Price and duration are configured by staff.</x:v>
      </x:c>
      <x:c r="I18" s="31" t="str">
        <x:v>Customer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1" t="n">
        <x:v>15</x:v>
      </x:c>
      <x:c r="B19" s="31" t="str">
        <x:v>Gym Operation System</x:v>
      </x:c>
      <x:c r="C19" s="31" t="str">
        <x:v>Membership</x:v>
      </x:c>
      <x:c r="D19" s="31" t="str">
        <x:v>Allow staff to find an existing customer during counter registration.</x:v>
      </x:c>
      <x:c r="E19" s="31" t="str">
        <x:v>Customer Membership Registration and Counter Activation</x:v>
      </x:c>
      <x:c r="F19" s="31" t="str">
        <x:v>Customer lookup at counter</x:v>
      </x:c>
      <x:c r="G19" s="31" t="str">
        <x:v>Search customer by phone, email, name, or account ID before creating or activating a membership.</x:v>
      </x:c>
      <x:c r="H19" s="31" t="str">
        <x:v>Avoid duplicate customer accounts.</x:v>
      </x:c>
      <x:c r="I19" s="31" t="str">
        <x:v>Gym Staff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1" t="n">
        <x:v>16</x:v>
      </x:c>
      <x:c r="B20" s="31" t="str">
        <x:v>Gym Operation System</x:v>
      </x:c>
      <x:c r="C20" s="31" t="str">
        <x:v>Membership</x:v>
      </x:c>
      <x:c r="D20" s="31" t="str">
        <x:v>Allow staff to create a customer account during counter registration when no account exists.</x:v>
      </x:c>
      <x:c r="E20" s="31" t="str">
        <x:v>Customer Membership Registration and Counter Activation</x:v>
      </x:c>
      <x:c r="F20" s="31" t="str">
        <x:v>Counter customer account creation</x:v>
      </x:c>
      <x:c r="G20" s="31" t="str">
        <x:v>Enter required customer profile data and create a customer account from the counter screen.</x:v>
      </x:c>
      <x:c r="H20" s="31" t="str">
        <x:v>This supports walk-in customers.</x:v>
      </x:c>
      <x:c r="I20" s="31" t="str">
        <x:v>Gym Staff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1" t="n">
        <x:v>17</x:v>
      </x:c>
      <x:c r="B21" s="31" t="str">
        <x:v>Gym Operation System</x:v>
      </x:c>
      <x:c r="C21" s="31" t="str">
        <x:v>Membership</x:v>
      </x:c>
      <x:c r="D21" s="31" t="str">
        <x:v>Allow staff to choose the correct membership package for a customer at the counter.</x:v>
      </x:c>
      <x:c r="E21" s="31" t="str">
        <x:v>Customer Membership Registration and Counter Activation</x:v>
      </x:c>
      <x:c r="F21" s="31" t="str">
        <x:v>Counter package selection</x:v>
      </x:c>
      <x:c r="G21" s="31" t="str">
        <x:v>Select package, duration, price, start date, and customer account before activation.</x:v>
      </x:c>
      <x:c r="H21" s="31" t="str">
        <x:v>Payment handling can remain outside scope if not required.</x:v>
      </x:c>
      <x:c r="I21" s="31" t="str">
        <x:v>Gym Staff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1" t="n">
        <x:v>18</x:v>
      </x:c>
      <x:c r="B22" s="31" t="str">
        <x:v>Gym Operation System</x:v>
      </x:c>
      <x:c r="C22" s="31" t="str">
        <x:v>Membership</x:v>
      </x:c>
      <x:c r="D22" s="31" t="str">
        <x:v>Allow staff to create the customer membership record after payment or confirmation.</x:v>
      </x:c>
      <x:c r="E22" s="31" t="str">
        <x:v>Customer Membership Registration and Counter Activation</x:v>
      </x:c>
      <x:c r="F22" s="31" t="str">
        <x:v>Membership record creation</x:v>
      </x:c>
      <x:c r="G22" s="31" t="str">
        <x:v>Create a membership record linked to the customer account and selected package.</x:v>
      </x:c>
      <x:c r="H22" s="31" t="str">
        <x:v>Record should include package, status, start date, expiry date, and creator.</x:v>
      </x:c>
      <x:c r="I22" s="31" t="str">
        <x:v>Gym Staff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1" t="n">
        <x:v>19</x:v>
      </x:c>
      <x:c r="B23" s="31" t="str">
        <x:v>Gym Operation System</x:v>
      </x:c>
      <x:c r="C23" s="31" t="str">
        <x:v>Membership</x:v>
      </x:c>
      <x:c r="D23" s="31" t="str">
        <x:v>Allow the system to calculate membership validity.</x:v>
      </x:c>
      <x:c r="E23" s="31" t="str">
        <x:v>Customer Membership Registration and Counter Activation</x:v>
      </x:c>
      <x:c r="F23" s="31" t="str">
        <x:v>Membership validity calculation</x:v>
      </x:c>
      <x:c r="G23" s="31" t="str">
        <x:v>Calculate start date, expiry date, remaining days, and status based on the selected package duration.</x:v>
      </x:c>
      <x:c r="H23" s="31" t="str">
        <x:v>Duration rules should support day, month, and year packages.</x:v>
      </x:c>
      <x:c r="I23" s="31" t="str">
        <x:v>System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1" t="n">
        <x:v>20</x:v>
      </x:c>
      <x:c r="B24" s="31" t="str">
        <x:v>Notification Service (SMS)</x:v>
      </x:c>
      <x:c r="C24" s="31" t="str">
        <x:v>Notification</x:v>
      </x:c>
      <x:c r="D24" s="31" t="str">
        <x:v>Notify a customer after membership activation.</x:v>
      </x:c>
      <x:c r="E24" s="31" t="str">
        <x:v>Customer Membership Registration and Counter Activation</x:v>
      </x:c>
      <x:c r="F24" s="31" t="str">
        <x:v>Membership activation notification dispatch</x:v>
      </x:c>
      <x:c r="G24" s="31" t="str">
        <x:v>Send SMS or in-system notification with activation result, package name, and validity period.</x:v>
      </x:c>
      <x:c r="H24" s="31" t="str">
        <x:v>Triggered after successful membership activation.</x:v>
      </x:c>
      <x:c r="I24" s="31" t="str">
        <x:v>System / Customer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1" t="n">
        <x:v>21</x:v>
      </x:c>
      <x:c r="B25" s="31" t="str">
        <x:v>Gym Operation System</x:v>
      </x:c>
      <x:c r="C25" s="31" t="str">
        <x:v>Membership</x:v>
      </x:c>
      <x:c r="D25" s="31" t="str">
        <x:v>Allow the system to identify memberships that are close to expiry or already expired.</x:v>
      </x:c>
      <x:c r="E25" s="31" t="str">
        <x:v>Membership Expiry Notification</x:v>
      </x:c>
      <x:c r="F25" s="31" t="str">
        <x:v>Membership expiry detection</x:v>
      </x:c>
      <x:c r="G25" s="31" t="str">
        <x:v>Check active memberships against expiry rules and identify customers who need reminders.</x:v>
      </x:c>
      <x:c r="H25" s="31" t="str">
        <x:v>Reminder timing should be configurable.</x:v>
      </x:c>
      <x:c r="I25" s="31" t="str">
        <x:v>System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1" t="n">
        <x:v>22</x:v>
      </x:c>
      <x:c r="B26" s="31" t="str">
        <x:v>Notification Service (SMS)</x:v>
      </x:c>
      <x:c r="C26" s="31" t="str">
        <x:v>Notification</x:v>
      </x:c>
      <x:c r="D26" s="31" t="str">
        <x:v>Notify customers about upcoming or completed membership expiry.</x:v>
      </x:c>
      <x:c r="E26" s="31" t="str">
        <x:v>Membership Expiry Notification</x:v>
      </x:c>
      <x:c r="F26" s="31" t="str">
        <x:v>Membership expiry notification dispatch</x:v>
      </x:c>
      <x:c r="G26" s="31" t="str">
        <x:v>Send expiry reminder or expired-status message through SMS or in-system notification.</x:v>
      </x:c>
      <x:c r="H26" s="31" t="str">
        <x:v>Can run on a scheduled job.</x:v>
      </x:c>
      <x:c r="I26" s="31" t="str">
        <x:v>System / Customer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1" t="n">
        <x:v>23</x:v>
      </x:c>
      <x:c r="B27" s="31" t="str">
        <x:v>Gym Operation System</x:v>
      </x:c>
      <x:c r="C27" s="31" t="str">
        <x:v>Membership QR</x:v>
      </x:c>
      <x:c r="D27" s="31" t="str">
        <x:v>Allow the system to create a QR code for valid membership identification.</x:v>
      </x:c>
      <x:c r="E27" s="31" t="str">
        <x:v>Membership QR</x:v>
      </x:c>
      <x:c r="F27" s="31" t="str">
        <x:v>Membership QR generation</x:v>
      </x:c>
      <x:c r="G27" s="31" t="str">
        <x:v>Generate a QR code linked to customer and membership identifiers without exposing sensitive raw data.</x:v>
      </x:c>
      <x:c r="H27" s="31" t="str">
        <x:v>QR token should be revocable or refreshable.</x:v>
      </x:c>
      <x:c r="I27" s="31" t="str">
        <x:v>System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1" t="n">
        <x:v>24</x:v>
      </x:c>
      <x:c r="B28" s="31" t="str">
        <x:v>Gym Customer Web Page</x:v>
      </x:c>
      <x:c r="C28" s="31" t="str">
        <x:v>Membership QR</x:v>
      </x:c>
      <x:c r="D28" s="31" t="str">
        <x:v>Allow customers to retrieve their membership QR code.</x:v>
      </x:c>
      <x:c r="E28" s="31" t="str">
        <x:v>Membership QR</x:v>
      </x:c>
      <x:c r="F28" s="31" t="str">
        <x:v>Membership QR display</x:v>
      </x:c>
      <x:c r="G28" s="31" t="str">
        <x:v>Display or download the customer membership QR code from the customer web page.</x:v>
      </x:c>
      <x:c r="H28" s="31" t="str">
        <x:v>Only the owner of the membership can view the QR code.</x:v>
      </x:c>
      <x:c r="I28" s="31" t="str">
        <x:v>Customer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1" t="n">
        <x:v>25</x:v>
      </x:c>
      <x:c r="B29" s="31" t="str">
        <x:v>Check-in/Checkout Service</x:v>
      </x:c>
      <x:c r="C29" s="31" t="str">
        <x:v>Check-in/Checkout</x:v>
      </x:c>
      <x:c r="D29" s="31" t="str">
        <x:v>Allow a customer to present a membership QR code when entering the gym.</x:v>
      </x:c>
      <x:c r="E29" s="31" t="str">
        <x:v>Customer QR Check-in</x:v>
      </x:c>
      <x:c r="F29" s="31" t="str">
        <x:v>Check-in QR scan</x:v>
      </x:c>
      <x:c r="G29" s="31" t="str">
        <x:v>Read the QR code and submit the token to the system for validation.</x:v>
      </x:c>
      <x:c r="H29" s="31" t="str">
        <x:v>Scanning can be performed by kiosk, scanner, or staff device.</x:v>
      </x:c>
      <x:c r="I29" s="31" t="str">
        <x:v>Customer / Gym Staff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1" t="n">
        <x:v>26</x:v>
      </x:c>
      <x:c r="B30" s="31" t="str">
        <x:v>Check-in/Checkout Service</x:v>
      </x:c>
      <x:c r="C30" s="31" t="str">
        <x:v>Check-in/Checkout</x:v>
      </x:c>
      <x:c r="D30" s="31" t="str">
        <x:v>Allow the system to validate whether the scanned QR code is usable for entry.</x:v>
      </x:c>
      <x:c r="E30" s="31" t="str">
        <x:v>Customer QR Check-in</x:v>
      </x:c>
      <x:c r="F30" s="31" t="str">
        <x:v>Check-in membership validation</x:v>
      </x:c>
      <x:c r="G30" s="31" t="str">
        <x:v>Validate customer identity, membership status, expiry date, and QR token integrity.</x:v>
      </x:c>
      <x:c r="H30" s="31" t="str">
        <x:v>Invalid or expired memberships must not create a visit session.</x:v>
      </x:c>
      <x:c r="I30" s="31" t="str">
        <x:v>System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1" t="n">
        <x:v>27</x:v>
      </x:c>
      <x:c r="B31" s="31" t="str">
        <x:v>Gym Operation System</x:v>
      </x:c>
      <x:c r="C31" s="31" t="str">
        <x:v>Check-in/Checkout</x:v>
      </x:c>
      <x:c r="D31" s="31" t="str">
        <x:v>Allow the system to record a valid gym entry.</x:v>
      </x:c>
      <x:c r="E31" s="31" t="str">
        <x:v>Customer QR Check-in</x:v>
      </x:c>
      <x:c r="F31" s="31" t="str">
        <x:v>Check-in record creation</x:v>
      </x:c>
      <x:c r="G31" s="31" t="str">
        <x:v>Create a visit session with customer ID, membership ID, check-in time, and entry status.</x:v>
      </x:c>
      <x:c r="H31" s="31" t="str">
        <x:v>Only one open visit session should exist per customer at a time.</x:v>
      </x:c>
      <x:c r="I31" s="31" t="str">
        <x:v>System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1" t="n">
        <x:v>28</x:v>
      </x:c>
      <x:c r="B32" s="31" t="str">
        <x:v>Gym Operation System</x:v>
      </x:c>
      <x:c r="C32" s="31" t="str">
        <x:v>Check-in/Checkout</x:v>
      </x:c>
      <x:c r="D32" s="31" t="str">
        <x:v>Allow the system to explain why a check-in cannot proceed.</x:v>
      </x:c>
      <x:c r="E32" s="31" t="str">
        <x:v>Customer QR Check-in</x:v>
      </x:c>
      <x:c r="F32" s="31" t="str">
        <x:v>Check-in rejection message</x:v>
      </x:c>
      <x:c r="G32" s="31" t="str">
        <x:v>Show an error when membership is expired, QR is invalid, account is inactive, or an open session already exists.</x:v>
      </x:c>
      <x:c r="H32" s="31" t="str">
        <x:v>Error wording should be clear for counter staff and customer.</x:v>
      </x:c>
      <x:c r="I32" s="31" t="str">
        <x:v>System / Gym Staff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1" t="n">
        <x:v>29</x:v>
      </x:c>
      <x:c r="B33" s="31" t="str">
        <x:v>Check-in/Checkout Service</x:v>
      </x:c>
      <x:c r="C33" s="31" t="str">
        <x:v>Check-in/Checkout</x:v>
      </x:c>
      <x:c r="D33" s="31" t="str">
        <x:v>Allow a customer to present a membership QR code when leaving the gym.</x:v>
      </x:c>
      <x:c r="E33" s="31" t="str">
        <x:v>Customer QR Check-out</x:v>
      </x:c>
      <x:c r="F33" s="31" t="str">
        <x:v>Check-out QR scan</x:v>
      </x:c>
      <x:c r="G33" s="31" t="str">
        <x:v>Read the QR code and submit the token to identify the open visit session.</x:v>
      </x:c>
      <x:c r="H33" s="31" t="str">
        <x:v>Same QR can be used for entry and exit.</x:v>
      </x:c>
      <x:c r="I33" s="31" t="str">
        <x:v>Customer / Gym Staff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1" t="n">
        <x:v>30</x:v>
      </x:c>
      <x:c r="B34" s="31" t="str">
        <x:v>Gym Operation System</x:v>
      </x:c>
      <x:c r="C34" s="31" t="str">
        <x:v>Check-in/Checkout</x:v>
      </x:c>
      <x:c r="D34" s="31" t="str">
        <x:v>Allow the system to find the active visit session before checkout.</x:v>
      </x:c>
      <x:c r="E34" s="31" t="str">
        <x:v>Customer QR Check-out</x:v>
      </x:c>
      <x:c r="F34" s="31" t="str">
        <x:v>Open visit session lookup</x:v>
      </x:c>
      <x:c r="G34" s="31" t="str">
        <x:v>Search for the latest customer visit session with check-in time and no check-out time.</x:v>
      </x:c>
      <x:c r="H34" s="31" t="str">
        <x:v>If no open session exists, checkout must not be saved.</x:v>
      </x:c>
      <x:c r="I34" s="31" t="str">
        <x:v>System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31" t="n">
        <x:v>31</x:v>
      </x:c>
      <x:c r="B35" s="31" t="str">
        <x:v>Gym Operation System</x:v>
      </x:c>
      <x:c r="C35" s="31" t="str">
        <x:v>Check-in/Checkout</x:v>
      </x:c>
      <x:c r="D35" s="31" t="str">
        <x:v>Allow the system to close a customer visit session.</x:v>
      </x:c>
      <x:c r="E35" s="31" t="str">
        <x:v>Customer QR Check-out</x:v>
      </x:c>
      <x:c r="F35" s="31" t="str">
        <x:v>Check-out timestamp update</x:v>
      </x:c>
      <x:c r="G35" s="31" t="str">
        <x:v>Set check-out time, calculate visit duration, and update the session status to Closed.</x:v>
      </x:c>
      <x:c r="H35" s="31" t="str">
        <x:v>Visit duration supports daily report data.</x:v>
      </x:c>
      <x:c r="I35" s="31" t="str">
        <x:v>System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1" t="n">
        <x:v>32</x:v>
      </x:c>
      <x:c r="B36" s="31" t="str">
        <x:v>Gym Operation System</x:v>
      </x:c>
      <x:c r="C36" s="31" t="str">
        <x:v>Check-in/Checkout</x:v>
      </x:c>
      <x:c r="D36" s="31" t="str">
        <x:v>Allow the system to report an invalid checkout attempt.</x:v>
      </x:c>
      <x:c r="E36" s="31" t="str">
        <x:v>Customer QR Check-out</x:v>
      </x:c>
      <x:c r="F36" s="31" t="str">
        <x:v>Check-out exception message</x:v>
      </x:c>
      <x:c r="G36" s="31" t="str">
        <x:v>Show a message when no open visit session exists, QR is invalid, or account status does not allow checkout.</x:v>
      </x:c>
      <x:c r="H36" s="31" t="str">
        <x:v>Exception should not create duplicate records.</x:v>
      </x:c>
      <x:c r="I36" s="31" t="str">
        <x:v>System / Gym Staff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1" t="n">
        <x:v>33</x:v>
      </x:c>
      <x:c r="B37" s="31" t="str">
        <x:v>Gym Operation System</x:v>
      </x:c>
      <x:c r="C37" s="31" t="str">
        <x:v>Notification</x:v>
      </x:c>
      <x:c r="D37" s="31" t="str">
        <x:v>Allow staff to prepare announcement content before publication.</x:v>
      </x:c>
      <x:c r="E37" s="31" t="str">
        <x:v>Content Posting and Notification Publishing</x:v>
      </x:c>
      <x:c r="F37" s="31" t="str">
        <x:v>Notification draft creation</x:v>
      </x:c>
      <x:c r="G37" s="31" t="str">
        <x:v>Enter title, message body, category, priority, target channel, and effective date.</x:v>
      </x:c>
      <x:c r="H37" s="31" t="str">
        <x:v>Drafts should not be visible to recipients.</x:v>
      </x:c>
      <x:c r="I37" s="31" t="str">
        <x:v>Gym Staff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1" t="n">
        <x:v>34</x:v>
      </x:c>
      <x:c r="B38" s="31" t="str">
        <x:v>Gym Operation System</x:v>
      </x:c>
      <x:c r="C38" s="31" t="str">
        <x:v>Notification</x:v>
      </x:c>
      <x:c r="D38" s="31" t="str">
        <x:v>Allow staff to review notification content before sending.</x:v>
      </x:c>
      <x:c r="E38" s="31" t="str">
        <x:v>Content Posting and Notification Publishing</x:v>
      </x:c>
      <x:c r="F38" s="31" t="str">
        <x:v>Notification preview</x:v>
      </x:c>
      <x:c r="G38" s="31" t="str">
        <x:v>Display the message as it will appear to customers or PTs before publication.</x:v>
      </x:c>
      <x:c r="H38" s="31" t="str">
        <x:v>Preview helps reduce content mistakes.</x:v>
      </x:c>
      <x:c r="I38" s="31" t="str">
        <x:v>Gym Staff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1" t="n">
        <x:v>35</x:v>
      </x:c>
      <x:c r="B39" s="31" t="str">
        <x:v>Gym Operation System</x:v>
      </x:c>
      <x:c r="C39" s="31" t="str">
        <x:v>Notification</x:v>
      </x:c>
      <x:c r="D39" s="31" t="str">
        <x:v>Allow staff to choose who receives a notification.</x:v>
      </x:c>
      <x:c r="E39" s="31" t="str">
        <x:v>Content Posting and Notification Publishing</x:v>
      </x:c>
      <x:c r="F39" s="31" t="str">
        <x:v>Notification audience selection</x:v>
      </x:c>
      <x:c r="G39" s="31" t="str">
        <x:v>Select target audience such as all customers, selected customers, all PTs, or selected PTs.</x:v>
      </x:c>
      <x:c r="H39" s="31" t="str">
        <x:v>Audience rules should match privacy policy.</x:v>
      </x:c>
      <x:c r="I39" s="31" t="str">
        <x:v>Gym Staff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1" t="n">
        <x:v>36</x:v>
      </x:c>
      <x:c r="B40" s="31" t="str">
        <x:v>Gym Operation System</x:v>
      </x:c>
      <x:c r="C40" s="31" t="str">
        <x:v>Notification</x:v>
      </x:c>
      <x:c r="D40" s="31" t="str">
        <x:v>Allow staff to publish approved notification content.</x:v>
      </x:c>
      <x:c r="E40" s="31" t="str">
        <x:v>Content Posting and Notification Publishing</x:v>
      </x:c>
      <x:c r="F40" s="31" t="str">
        <x:v>Notification publication</x:v>
      </x:c>
      <x:c r="G40" s="31" t="str">
        <x:v>Set notification status to Published and send it through selected channels.</x:v>
      </x:c>
      <x:c r="H40" s="31" t="str">
        <x:v>Publication date and publisher should be logged.</x:v>
      </x:c>
      <x:c r="I40" s="31" t="str">
        <x:v>Gym Staff / System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1" t="n">
        <x:v>37</x:v>
      </x:c>
      <x:c r="B41" s="31" t="str">
        <x:v>Gym Customer Web Page</x:v>
      </x:c>
      <x:c r="C41" s="31" t="str">
        <x:v>Notification</x:v>
      </x:c>
      <x:c r="D41" s="31" t="str">
        <x:v>Allow customers to see their received notifications.</x:v>
      </x:c>
      <x:c r="E41" s="31" t="str">
        <x:v>Notification Retrieval</x:v>
      </x:c>
      <x:c r="F41" s="31" t="str">
        <x:v>Customer notification list display</x:v>
      </x:c>
      <x:c r="G41" s="31" t="str">
        <x:v>Show received notifications with title, category, date, and read status.</x:v>
      </x:c>
      <x:c r="H41" s="31" t="str">
        <x:v>Supports activation, expiry, booking, and general messages.</x:v>
      </x:c>
      <x:c r="I41" s="31" t="str">
        <x:v>Customer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1" t="n">
        <x:v>38</x:v>
      </x:c>
      <x:c r="B42" s="31" t="str">
        <x:v>Gym PT Web Page</x:v>
      </x:c>
      <x:c r="C42" s="31" t="str">
        <x:v>Notification</x:v>
      </x:c>
      <x:c r="D42" s="31" t="str">
        <x:v>Allow personal trainers to see their received notifications.</x:v>
      </x:c>
      <x:c r="E42" s="31" t="str">
        <x:v>Notification Retrieval</x:v>
      </x:c>
      <x:c r="F42" s="31" t="str">
        <x:v>PT notification list display</x:v>
      </x:c>
      <x:c r="G42" s="31" t="str">
        <x:v>Show PT notifications with title, category, date, booking relation, and read status.</x:v>
      </x:c>
      <x:c r="H42" s="31" t="str">
        <x:v>PT receives booking request and schedule messages.</x:v>
      </x:c>
      <x:c r="I42" s="31" t="str">
        <x:v>Personal Trainer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1" t="n">
        <x:v>39</x:v>
      </x:c>
      <x:c r="B43" s="31" t="str">
        <x:v>Gym Operation System</x:v>
      </x:c>
      <x:c r="C43" s="31" t="str">
        <x:v>Notification</x:v>
      </x:c>
      <x:c r="D43" s="31" t="str">
        <x:v>Allow recipients to read the full notification content.</x:v>
      </x:c>
      <x:c r="E43" s="31" t="str">
        <x:v>Notification Retrieval</x:v>
      </x:c>
      <x:c r="F43" s="31" t="str">
        <x:v>Notification detail display</x:v>
      </x:c>
      <x:c r="G43" s="31" t="str">
        <x:v>Display full title, message, sender, date, target type, and related object if available.</x:v>
      </x:c>
      <x:c r="H43" s="31" t="str">
        <x:v>Related object can be membership, booking, or schedule.</x:v>
      </x:c>
      <x:c r="I43" s="31" t="str">
        <x:v>Customer / Personal Trainer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1" t="n">
        <x:v>40</x:v>
      </x:c>
      <x:c r="B44" s="31" t="str">
        <x:v>Gym Operation System</x:v>
      </x:c>
      <x:c r="C44" s="31" t="str">
        <x:v>Notification</x:v>
      </x:c>
      <x:c r="D44" s="31" t="str">
        <x:v>Allow recipients to update the read state of a notification.</x:v>
      </x:c>
      <x:c r="E44" s="31" t="str">
        <x:v>Notification Retrieval</x:v>
      </x:c>
      <x:c r="F44" s="31" t="str">
        <x:v>Notification read-status update</x:v>
      </x:c>
      <x:c r="G44" s="31" t="str">
        <x:v>Mark a notification as read or unread and update the unread counter.</x:v>
      </x:c>
      <x:c r="H44" s="31" t="str">
        <x:v>This is user-specific state.</x:v>
      </x:c>
      <x:c r="I44" s="31" t="str">
        <x:v>Customer / Personal Trainer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1" t="n">
        <x:v>41</x:v>
      </x:c>
      <x:c r="B45" s="31" t="str">
        <x:v>Gym Operation System</x:v>
      </x:c>
      <x:c r="C45" s="31" t="str">
        <x:v>Notification</x:v>
      </x:c>
      <x:c r="D45" s="31" t="str">
        <x:v>Allow staff to remove a notification from active recipient views without permanent deletion.</x:v>
      </x:c>
      <x:c r="E45" s="31" t="str">
        <x:v>Notification Removal</x:v>
      </x:c>
      <x:c r="F45" s="31" t="str">
        <x:v>Notification hiding</x:v>
      </x:c>
      <x:c r="G45" s="31" t="str">
        <x:v>Change notification status from Published to Hidden so it no longer appears in active lists.</x:v>
      </x:c>
      <x:c r="H45" s="31" t="str">
        <x:v>Hidden records can support audit or recovery.</x:v>
      </x:c>
      <x:c r="I45" s="31" t="str">
        <x:v>Gym Staff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1" t="n">
        <x:v>42</x:v>
      </x:c>
      <x:c r="B46" s="31" t="str">
        <x:v>Gym Operation System</x:v>
      </x:c>
      <x:c r="C46" s="31" t="str">
        <x:v>Notification</x:v>
      </x:c>
      <x:c r="D46" s="31" t="str">
        <x:v>Allow staff to permanently remove an obsolete notification if policy permits.</x:v>
      </x:c>
      <x:c r="E46" s="31" t="str">
        <x:v>Notification Removal</x:v>
      </x:c>
      <x:c r="F46" s="31" t="str">
        <x:v>Notification deletion</x:v>
      </x:c>
      <x:c r="G46" s="31" t="str">
        <x:v>Delete an unused notification or set it to Deleted status according to audit policy.</x:v>
      </x:c>
      <x:c r="H46" s="31" t="str">
        <x:v>Soft deletion is recommended.</x:v>
      </x:c>
      <x:c r="I46" s="31" t="str">
        <x:v>Gym Staff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1" t="n">
        <x:v>43</x:v>
      </x:c>
      <x:c r="B47" s="31" t="str">
        <x:v>Gym Customer Web Page</x:v>
      </x:c>
      <x:c r="C47" s="31" t="str">
        <x:v>PT Discovery</x:v>
      </x:c>
      <x:c r="D47" s="31" t="str">
        <x:v>Allow customers to find available personal trainers.</x:v>
      </x:c>
      <x:c r="E47" s="31" t="str">
        <x:v>PT Information Retrieval</x:v>
      </x:c>
      <x:c r="F47" s="31" t="str">
        <x:v>PT list display</x:v>
      </x:c>
      <x:c r="G47" s="31" t="str">
        <x:v>Show approved and active PTs with name, specialization, rating or experience summary, and available package indicator.</x:v>
      </x:c>
      <x:c r="H47" s="31" t="str">
        <x:v>Only visible PTs should be shown.</x:v>
      </x:c>
      <x:c r="I47" s="31" t="str">
        <x:v>Customer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1" t="n">
        <x:v>44</x:v>
      </x:c>
      <x:c r="B48" s="31" t="str">
        <x:v>Gym Customer Web Page</x:v>
      </x:c>
      <x:c r="C48" s="31" t="str">
        <x:v>PT Discovery</x:v>
      </x:c>
      <x:c r="D48" s="31" t="str">
        <x:v>Allow customers to inspect a selected personal trainer.</x:v>
      </x:c>
      <x:c r="E48" s="31" t="str">
        <x:v>PT Information Retrieval</x:v>
      </x:c>
      <x:c r="F48" s="31" t="str">
        <x:v>PT profile display to customer</x:v>
      </x:c>
      <x:c r="G48" s="31" t="str">
        <x:v>Show PT biography, specialization, experience, contact channel, and training packages.</x:v>
      </x:c>
      <x:c r="H48" s="31" t="str">
        <x:v>Sensitive PT data should not be shown.</x:v>
      </x:c>
      <x:c r="I48" s="31" t="str">
        <x:v>Customer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1" t="n">
        <x:v>45</x:v>
      </x:c>
      <x:c r="B49" s="31" t="str">
        <x:v>Gym PT Web Page</x:v>
      </x:c>
      <x:c r="C49" s="31" t="str">
        <x:v>PT Package</x:v>
      </x:c>
      <x:c r="D49" s="31" t="str">
        <x:v>Allow a personal trainer to create a training package.</x:v>
      </x:c>
      <x:c r="E49" s="31" t="str">
        <x:v>PT Training Package Setup</x:v>
      </x:c>
      <x:c r="F49" s="31" t="str">
        <x:v>PT package creation</x:v>
      </x:c>
      <x:c r="G49" s="31" t="str">
        <x:v>Enter package name, description, session count, price, duration, training goal, and availability status.</x:v>
      </x:c>
      <x:c r="H49" s="31" t="str">
        <x:v>Package can require staff review if policy requires it.</x:v>
      </x:c>
      <x:c r="I49" s="31" t="str">
        <x:v>Personal Trainer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1" t="n">
        <x:v>46</x:v>
      </x:c>
      <x:c r="B50" s="31" t="str">
        <x:v>Gym PT Web Page</x:v>
      </x:c>
      <x:c r="C50" s="31" t="str">
        <x:v>PT Package</x:v>
      </x:c>
      <x:c r="D50" s="31" t="str">
        <x:v>Allow a personal trainer to revise an existing training package.</x:v>
      </x:c>
      <x:c r="E50" s="31" t="str">
        <x:v>PT Training Package Setup</x:v>
      </x:c>
      <x:c r="F50" s="31" t="str">
        <x:v>PT package detail update</x:v>
      </x:c>
      <x:c r="G50" s="31" t="str">
        <x:v>Update description, session count, price, duration, training goal, and visible status of a PT package.</x:v>
      </x:c>
      <x:c r="H50" s="31" t="str">
        <x:v>Historical accepted bookings should keep their original terms.</x:v>
      </x:c>
      <x:c r="I50" s="31" t="str">
        <x:v>Personal Trainer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1" t="n">
        <x:v>47</x:v>
      </x:c>
      <x:c r="B51" s="31" t="str">
        <x:v>Gym PT Web Page</x:v>
      </x:c>
      <x:c r="C51" s="31" t="str">
        <x:v>PT Package</x:v>
      </x:c>
      <x:c r="D51" s="31" t="str">
        <x:v>Allow a personal trainer to stop customers from booking an unavailable package.</x:v>
      </x:c>
      <x:c r="E51" s="31" t="str">
        <x:v>PT Training Package Setup</x:v>
      </x:c>
      <x:c r="F51" s="31" t="str">
        <x:v>PT package status change</x:v>
      </x:c>
      <x:c r="G51" s="31" t="str">
        <x:v>Switch PT package status between Active and Inactive.</x:v>
      </x:c>
      <x:c r="H51" s="31" t="str">
        <x:v>Inactive packages should not appear in customer booking screens.</x:v>
      </x:c>
      <x:c r="I51" s="31" t="str">
        <x:v>Personal Trainer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1" t="n">
        <x:v>48</x:v>
      </x:c>
      <x:c r="B52" s="31" t="str">
        <x:v>Gym Customer Web Page</x:v>
      </x:c>
      <x:c r="C52" s="31" t="str">
        <x:v>PT Booking</x:v>
      </x:c>
      <x:c r="D52" s="31" t="str">
        <x:v>Allow customers to request a PT training package.</x:v>
      </x:c>
      <x:c r="E52" s="31" t="str">
        <x:v>Customer PT Package Registration</x:v>
      </x:c>
      <x:c r="F52" s="31" t="str">
        <x:v>PT package booking request submission</x:v>
      </x:c>
      <x:c r="G52" s="31" t="str">
        <x:v>Select PT, choose a package, enter preferred schedule or notes, and submit a booking request with Pending status.</x:v>
      </x:c>
      <x:c r="H52" s="31" t="str">
        <x:v>A submitted request is not confirmed until PT acceptance.</x:v>
      </x:c>
      <x:c r="I52" s="31" t="str">
        <x:v>Customer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31" t="n">
        <x:v>49</x:v>
      </x:c>
      <x:c r="B53" s="31" t="str">
        <x:v>Gym PT Web Page</x:v>
      </x:c>
      <x:c r="C53" s="31" t="str">
        <x:v>PT Booking</x:v>
      </x:c>
      <x:c r="D53" s="31" t="str">
        <x:v>Allow personal trainers to see incoming booking requests.</x:v>
      </x:c>
      <x:c r="E53" s="31" t="str">
        <x:v>PT Booking Confirmation</x:v>
      </x:c>
      <x:c r="F53" s="31" t="str">
        <x:v>Booking request list display</x:v>
      </x:c>
      <x:c r="G53" s="31" t="str">
        <x:v>Show pending, accepted, rejected, cancelled, and completed booking requests assigned to the PT.</x:v>
      </x:c>
      <x:c r="H53" s="31" t="str">
        <x:v>List should support sorting by request date and status.</x:v>
      </x:c>
      <x:c r="I53" s="31" t="str">
        <x:v>Personal Trainer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31" t="n">
        <x:v>50</x:v>
      </x:c>
      <x:c r="B54" s="31" t="str">
        <x:v>Gym PT Web Page</x:v>
      </x:c>
      <x:c r="C54" s="31" t="str">
        <x:v>PT Booking</x:v>
      </x:c>
      <x:c r="D54" s="31" t="str">
        <x:v>Allow personal trainers to inspect a customer booking request.</x:v>
      </x:c>
      <x:c r="E54" s="31" t="str">
        <x:v>PT Booking Confirmation</x:v>
      </x:c>
      <x:c r="F54" s="31" t="str">
        <x:v>Booking request detail display</x:v>
      </x:c>
      <x:c r="G54" s="31" t="str">
        <x:v>Show customer profile summary, selected package, request note, requested date/time, and membership status.</x:v>
      </x:c>
      <x:c r="H54" s="31" t="str">
        <x:v>Only assigned requests should be visible to the PT.</x:v>
      </x:c>
      <x:c r="I54" s="31" t="str">
        <x:v>Personal Trainer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31" t="n">
        <x:v>51</x:v>
      </x:c>
      <x:c r="B55" s="31" t="str">
        <x:v>Gym PT Web Page</x:v>
      </x:c>
      <x:c r="C55" s="31" t="str">
        <x:v>PT Booking</x:v>
      </x:c>
      <x:c r="D55" s="31" t="str">
        <x:v>Allow a personal trainer to approve a suitable booking request.</x:v>
      </x:c>
      <x:c r="E55" s="31" t="str">
        <x:v>PT Booking Confirmation</x:v>
      </x:c>
      <x:c r="F55" s="31" t="str">
        <x:v>Booking request acceptance</x:v>
      </x:c>
      <x:c r="G55" s="31" t="str">
        <x:v>Change booking status from Pending to Accepted and link the customer to the PT package.</x:v>
      </x:c>
      <x:c r="H55" s="31" t="str">
        <x:v>Acceptance can trigger schedule creation.</x:v>
      </x:c>
      <x:c r="I55" s="31" t="str">
        <x:v>Personal Trainer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31" t="n">
        <x:v>52</x:v>
      </x:c>
      <x:c r="B56" s="31" t="str">
        <x:v>Gym PT Web Page</x:v>
      </x:c>
      <x:c r="C56" s="31" t="str">
        <x:v>PT Booking</x:v>
      </x:c>
      <x:c r="D56" s="31" t="str">
        <x:v>Allow a personal trainer to reject an unsuitable booking request.</x:v>
      </x:c>
      <x:c r="E56" s="31" t="str">
        <x:v>PT Booking Confirmation</x:v>
      </x:c>
      <x:c r="F56" s="31" t="str">
        <x:v>Booking request rejection</x:v>
      </x:c>
      <x:c r="G56" s="31" t="str">
        <x:v>Change booking status from Pending to Rejected and store the rejection reason.</x:v>
      </x:c>
      <x:c r="H56" s="31" t="str">
        <x:v>Customer should receive the result.</x:v>
      </x:c>
      <x:c r="I56" s="31" t="str">
        <x:v>Personal Trainer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31" t="n">
        <x:v>53</x:v>
      </x:c>
      <x:c r="B57" s="31" t="str">
        <x:v>Notification Service (SMS)</x:v>
      </x:c>
      <x:c r="C57" s="31" t="str">
        <x:v>Notification</x:v>
      </x:c>
      <x:c r="D57" s="31" t="str">
        <x:v>Notify customers and personal trainers after booking request status changes.</x:v>
      </x:c>
      <x:c r="E57" s="31" t="str">
        <x:v>PT Booking Confirmation</x:v>
      </x:c>
      <x:c r="F57" s="31" t="str">
        <x:v>Booking result notification dispatch</x:v>
      </x:c>
      <x:c r="G57" s="31" t="str">
        <x:v>Send accepted, rejected, cancelled, or updated booking notification through SMS or in-system channel.</x:v>
      </x:c>
      <x:c r="H57" s="31" t="str">
        <x:v>Triggered by booking status change.</x:v>
      </x:c>
      <x:c r="I57" s="31" t="str">
        <x:v>System / Customer / Personal Trainer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31" t="n">
        <x:v>54</x:v>
      </x:c>
      <x:c r="B58" s="31" t="str">
        <x:v>Gym Operation System</x:v>
      </x:c>
      <x:c r="C58" s="31" t="str">
        <x:v>PT Booking</x:v>
      </x:c>
      <x:c r="D58" s="31" t="str">
        <x:v>Allow the system to connect an accepted customer to the assigned personal trainer.</x:v>
      </x:c>
      <x:c r="E58" s="31" t="str">
        <x:v>PT Booking Confirmation</x:v>
      </x:c>
      <x:c r="F58" s="31" t="str">
        <x:v>Customer-PT assignment creation</x:v>
      </x:c>
      <x:c r="G58" s="31" t="str">
        <x:v>Create an assignment record linking customer, PT, accepted package, start date, and booking status.</x:v>
      </x:c>
      <x:c r="H58" s="31" t="str">
        <x:v>Assignment is used for schedule and customer profile access.</x:v>
      </x:c>
      <x:c r="I58" s="31" t="str">
        <x:v>System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31" t="n">
        <x:v>55</x:v>
      </x:c>
      <x:c r="B59" s="31" t="str">
        <x:v>Gym PT Web Page</x:v>
      </x:c>
      <x:c r="C59" s="31" t="str">
        <x:v>Training Schedule</x:v>
      </x:c>
      <x:c r="D59" s="31" t="str">
        <x:v>Allow a personal trainer to select a date and time for a customer session.</x:v>
      </x:c>
      <x:c r="E59" s="31" t="str">
        <x:v>PT Customer Training Schedule Creation</x:v>
      </x:c>
      <x:c r="F59" s="31" t="str">
        <x:v>Training session date-time selection</x:v>
      </x:c>
      <x:c r="G59" s="31" t="str">
        <x:v>Choose customer, package, session number, date, start time, end time, and location.</x:v>
      </x:c>
      <x:c r="H59" s="31" t="str">
        <x:v>Requires an accepted booking or active assignment.</x:v>
      </x:c>
      <x:c r="I59" s="31" t="str">
        <x:v>Personal Trainer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31" t="n">
        <x:v>56</x:v>
      </x:c>
      <x:c r="B60" s="31" t="str">
        <x:v>Gym Operation System</x:v>
      </x:c>
      <x:c r="C60" s="31" t="str">
        <x:v>Training Schedule</x:v>
      </x:c>
      <x:c r="D60" s="31" t="str">
        <x:v>Allow the system to prevent duplicate or conflicting PT sessions.</x:v>
      </x:c>
      <x:c r="E60" s="31" t="str">
        <x:v>PT Customer Training Schedule Creation</x:v>
      </x:c>
      <x:c r="F60" s="31" t="str">
        <x:v>Training schedule conflict check</x:v>
      </x:c>
      <x:c r="G60" s="31" t="str">
        <x:v>Check whether the PT, customer, or location already has a session in the selected time slot.</x:v>
      </x:c>
      <x:c r="H60" s="31" t="str">
        <x:v>Conflict rule should be refined during detailed requirement work.</x:v>
      </x:c>
      <x:c r="I60" s="31" t="str">
        <x:v>System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31" t="n">
        <x:v>57</x:v>
      </x:c>
      <x:c r="B61" s="31" t="str">
        <x:v>Gym Operation System</x:v>
      </x:c>
      <x:c r="C61" s="31" t="str">
        <x:v>Training Schedule</x:v>
      </x:c>
      <x:c r="D61" s="31" t="str">
        <x:v>Allow the system to store a planned training session.</x:v>
      </x:c>
      <x:c r="E61" s="31" t="str">
        <x:v>PT Customer Training Schedule Creation</x:v>
      </x:c>
      <x:c r="F61" s="31" t="str">
        <x:v>Training schedule record creation</x:v>
      </x:c>
      <x:c r="G61" s="31" t="str">
        <x:v>Create the session record with PT, customer, date/time, location, package, and status Scheduled.</x:v>
      </x:c>
      <x:c r="H61" s="31" t="str">
        <x:v>Created session appears on both customer and PT schedules.</x:v>
      </x:c>
      <x:c r="I61" s="31" t="str">
        <x:v>System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31" t="n">
        <x:v>58</x:v>
      </x:c>
      <x:c r="B62" s="31" t="str">
        <x:v>Gym Customer Web Page</x:v>
      </x:c>
      <x:c r="C62" s="31" t="str">
        <x:v>Training Schedule</x:v>
      </x:c>
      <x:c r="D62" s="31" t="str">
        <x:v>Allow customers to see their own training schedule.</x:v>
      </x:c>
      <x:c r="E62" s="31" t="str">
        <x:v>Customer Training Schedule Viewing</x:v>
      </x:c>
      <x:c r="F62" s="31" t="str">
        <x:v>Customer schedule list display</x:v>
      </x:c>
      <x:c r="G62" s="31" t="str">
        <x:v>Show upcoming and past sessions with PT name, date/time, location, and session status.</x:v>
      </x:c>
      <x:c r="H62" s="31" t="str">
        <x:v>Customer can only view sessions linked to their account.</x:v>
      </x:c>
      <x:c r="I62" s="31" t="str">
        <x:v>Customer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31" t="n">
        <x:v>59</x:v>
      </x:c>
      <x:c r="B63" s="31" t="str">
        <x:v>Gym Customer Web Page</x:v>
      </x:c>
      <x:c r="C63" s="31" t="str">
        <x:v>Training Schedule</x:v>
      </x:c>
      <x:c r="D63" s="31" t="str">
        <x:v>Allow customers to inspect a selected training session.</x:v>
      </x:c>
      <x:c r="E63" s="31" t="str">
        <x:v>Customer Training Schedule Viewing</x:v>
      </x:c>
      <x:c r="F63" s="31" t="str">
        <x:v>Customer schedule detail display</x:v>
      </x:c>
      <x:c r="G63" s="31" t="str">
        <x:v>Show PT, package, date/time, location, status, note, and cancellation or reschedule information if available.</x:v>
      </x:c>
      <x:c r="H63" s="31" t="str">
        <x:v>Detail page can show contact channel if in scope.</x:v>
      </x:c>
      <x:c r="I63" s="31" t="str">
        <x:v>Customer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31" t="n">
        <x:v>60</x:v>
      </x:c>
      <x:c r="B64" s="31" t="str">
        <x:v>Gym PT Web Page</x:v>
      </x:c>
      <x:c r="C64" s="31" t="str">
        <x:v>Training Schedule</x:v>
      </x:c>
      <x:c r="D64" s="31" t="str">
        <x:v>Allow personal trainers to see their teaching workload.</x:v>
      </x:c>
      <x:c r="E64" s="31" t="str">
        <x:v>PT Teaching Schedule Viewing</x:v>
      </x:c>
      <x:c r="F64" s="31" t="str">
        <x:v>PT teaching calendar display</x:v>
      </x:c>
      <x:c r="G64" s="31" t="str">
        <x:v>Show PT sessions by day, week, or month with customer name, time slot, location, and status.</x:v>
      </x:c>
      <x:c r="H64" s="31" t="str">
        <x:v>Calendar or list view can be selected during UI design.</x:v>
      </x:c>
      <x:c r="I64" s="31" t="str">
        <x:v>Personal Trainer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31" t="n">
        <x:v>61</x:v>
      </x:c>
      <x:c r="B65" s="31" t="str">
        <x:v>Gym PT Web Page</x:v>
      </x:c>
      <x:c r="C65" s="31" t="str">
        <x:v>Training Schedule</x:v>
      </x:c>
      <x:c r="D65" s="31" t="str">
        <x:v>Allow personal trainers to inspect a selected teaching session.</x:v>
      </x:c>
      <x:c r="E65" s="31" t="str">
        <x:v>PT Teaching Schedule Viewing</x:v>
      </x:c>
      <x:c r="F65" s="31" t="str">
        <x:v>PT teaching session detail display</x:v>
      </x:c>
      <x:c r="G65" s="31" t="str">
        <x:v>Show assigned customer, package, date/time, location, session number, and current status.</x:v>
      </x:c>
      <x:c r="H65" s="31" t="str">
        <x:v>This screen supports later session recording.</x:v>
      </x:c>
      <x:c r="I65" s="31" t="str">
        <x:v>Personal Trainer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31" t="n">
        <x:v>62</x:v>
      </x:c>
      <x:c r="B66" s="31" t="str">
        <x:v>Gym PT Web Page</x:v>
      </x:c>
      <x:c r="C66" s="31" t="str">
        <x:v>Training Session</x:v>
      </x:c>
      <x:c r="D66" s="31" t="str">
        <x:v>Allow personal trainers to record whether a training session occurred.</x:v>
      </x:c>
      <x:c r="E66" s="31" t="str">
        <x:v>PT Training Session Recording</x:v>
      </x:c>
      <x:c r="F66" s="31" t="str">
        <x:v>Training session status recording</x:v>
      </x:c>
      <x:c r="G66" s="31" t="str">
        <x:v>Set session status to Completed, Absent, Cancelled, or Rescheduled after the planned session.</x:v>
      </x:c>
      <x:c r="H66" s="31" t="str">
        <x:v>Status options should be confirmed with business users.</x:v>
      </x:c>
      <x:c r="I66" s="31" t="str">
        <x:v>Personal Trainer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31" t="n">
        <x:v>63</x:v>
      </x:c>
      <x:c r="B67" s="31" t="str">
        <x:v>Gym PT Web Page</x:v>
      </x:c>
      <x:c r="C67" s="31" t="str">
        <x:v>Training Session</x:v>
      </x:c>
      <x:c r="D67" s="31" t="str">
        <x:v>Allow personal trainers to add session notes for customer progress.</x:v>
      </x:c>
      <x:c r="E67" s="31" t="str">
        <x:v>PT Training Session Recording</x:v>
      </x:c>
      <x:c r="F67" s="31" t="str">
        <x:v>Training session note entry</x:v>
      </x:c>
      <x:c r="G67" s="31" t="str">
        <x:v>Enter training notes, performance comments, and follow-up instructions linked to the session record.</x:v>
      </x:c>
      <x:c r="H67" s="31" t="str">
        <x:v>Notes should be visible according to privacy rules.</x:v>
      </x:c>
      <x:c r="I67" s="31" t="str">
        <x:v>Personal Trainer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31" t="n">
        <x:v>64</x:v>
      </x:c>
      <x:c r="B68" s="31" t="str">
        <x:v>Gym Operation System</x:v>
      </x:c>
      <x:c r="C68" s="31" t="str">
        <x:v>Training Session</x:v>
      </x:c>
      <x:c r="D68" s="31" t="str">
        <x:v>Allow users to see the history of recorded training sessions.</x:v>
      </x:c>
      <x:c r="E68" s="31" t="str">
        <x:v>PT Training Session Recording</x:v>
      </x:c>
      <x:c r="F68" s="31" t="str">
        <x:v>Training session history display</x:v>
      </x:c>
      <x:c r="G68" s="31" t="str">
        <x:v>Show recorded sessions with date, PT, customer, package, status, and note summary.</x:v>
      </x:c>
      <x:c r="H68" s="31" t="str">
        <x:v>Access should depend on role.</x:v>
      </x:c>
      <x:c r="I68" s="31" t="str">
        <x:v>Customer / Personal Trainer / Gym Staff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31" t="n">
        <x:v>65</x:v>
      </x:c>
      <x:c r="B69" s="31" t="str">
        <x:v>Gym PT Web Page</x:v>
      </x:c>
      <x:c r="C69" s="31" t="str">
        <x:v>Customer Information</x:v>
      </x:c>
      <x:c r="D69" s="31" t="str">
        <x:v>Allow personal trainers to see customer information needed for accepted bookings.</x:v>
      </x:c>
      <x:c r="E69" s="31" t="str">
        <x:v>Customer Information Retrieval</x:v>
      </x:c>
      <x:c r="F69" s="31" t="str">
        <x:v>Assigned customer profile display</x:v>
      </x:c>
      <x:c r="G69" s="31" t="str">
        <x:v>Show customer basic information, active package, membership status, booking status, and training history summary.</x:v>
      </x:c>
      <x:c r="H69" s="31" t="str">
        <x:v>PT can only access assigned customers.</x:v>
      </x:c>
      <x:c r="I69" s="31" t="str">
        <x:v>Personal Trainer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31" t="n">
        <x:v>66</x:v>
      </x:c>
      <x:c r="B70" s="31" t="str">
        <x:v>Gym Operation System</x:v>
      </x:c>
      <x:c r="C70" s="31" t="str">
        <x:v>Report</x:v>
      </x:c>
      <x:c r="D70" s="31" t="str">
        <x:v>Allow staff or owner to see daily membership operations.</x:v>
      </x:c>
      <x:c r="E70" s="31" t="str">
        <x:v>Daily Report</x:v>
      </x:c>
      <x:c r="F70" s="31" t="str">
        <x:v>Daily membership report generation</x:v>
      </x:c>
      <x:c r="G70" s="31" t="str">
        <x:v>Generate daily counts and details for new memberships, activations, expiries, and active memberships.</x:v>
      </x:c>
      <x:c r="H70" s="31" t="str">
        <x:v>Report can use membership start and expiry dates.</x:v>
      </x:c>
      <x:c r="I70" s="31" t="str">
        <x:v>Gym Staff / Gym Owner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31" t="n">
        <x:v>67</x:v>
      </x:c>
      <x:c r="B71" s="31" t="str">
        <x:v>Gym Operation System</x:v>
      </x:c>
      <x:c r="C71" s="31" t="str">
        <x:v>Report</x:v>
      </x:c>
      <x:c r="D71" s="31" t="str">
        <x:v>Allow staff or owner to see daily gym visit activity.</x:v>
      </x:c>
      <x:c r="E71" s="31" t="str">
        <x:v>Daily Report</x:v>
      </x:c>
      <x:c r="F71" s="31" t="str">
        <x:v>Daily visit report generation</x:v>
      </x:c>
      <x:c r="G71" s="31" t="str">
        <x:v>Generate daily check-in, check-out, active visit, and visit duration statistics.</x:v>
      </x:c>
      <x:c r="H71" s="31" t="str">
        <x:v>Requires correct check-in and check-out data.</x:v>
      </x:c>
      <x:c r="I71" s="31" t="str">
        <x:v>Gym Staff / Gym Owner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31" t="n">
        <x:v>68</x:v>
      </x:c>
      <x:c r="B72" s="31" t="str">
        <x:v>Gym Operation System</x:v>
      </x:c>
      <x:c r="C72" s="31" t="str">
        <x:v>Report</x:v>
      </x:c>
      <x:c r="D72" s="31" t="str">
        <x:v>Allow staff or owner to see PT booking activity.</x:v>
      </x:c>
      <x:c r="E72" s="31" t="str">
        <x:v>Daily Report</x:v>
      </x:c>
      <x:c r="F72" s="31" t="str">
        <x:v>PT booking report generation</x:v>
      </x:c>
      <x:c r="G72" s="31" t="str">
        <x:v>Generate booking statistics by status, PT, customer, package, and date range.</x:v>
      </x:c>
      <x:c r="H72" s="31" t="str">
        <x:v>Supports operational follow-up.</x:v>
      </x:c>
      <x:c r="I72" s="31" t="str">
        <x:v>Gym Staff / Gym Owner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31" t="n">
        <x:v>69</x:v>
      </x:c>
      <x:c r="B73" s="31" t="str">
        <x:v>Gym Operation System</x:v>
      </x:c>
      <x:c r="C73" s="31" t="str">
        <x:v>Report</x:v>
      </x:c>
      <x:c r="D73" s="31" t="str">
        <x:v>Allow staff or owner to narrow report results.</x:v>
      </x:c>
      <x:c r="E73" s="31" t="str">
        <x:v>Report Viewing</x:v>
      </x:c>
      <x:c r="F73" s="31" t="str">
        <x:v>Report filter application</x:v>
      </x:c>
      <x:c r="G73" s="31" t="str">
        <x:v>Filter report data by date range, customer, PT, membership status, booking status, and module.</x:v>
      </x:c>
      <x:c r="H73" s="31" t="str">
        <x:v>Filters should be combined without changing original data.</x:v>
      </x:c>
      <x:c r="I73" s="31" t="str">
        <x:v>Gym Staff / Gym Owner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31" t="n">
        <x:v>70</x:v>
      </x:c>
      <x:c r="B74" s="31" t="str">
        <x:v>Gym Operation System</x:v>
      </x:c>
      <x:c r="C74" s="31" t="str">
        <x:v>Report</x:v>
      </x:c>
      <x:c r="D74" s="31" t="str">
        <x:v>Allow staff or owner to export report data for offline use.</x:v>
      </x:c>
      <x:c r="E74" s="31" t="str">
        <x:v>Report Viewing</x:v>
      </x:c>
      <x:c r="F74" s="31" t="str">
        <x:v>Report export</x:v>
      </x:c>
      <x:c r="G74" s="31" t="str">
        <x:v>Export filtered report data to Excel or PDF according to role permission.</x:v>
      </x:c>
      <x:c r="H74" s="31" t="str">
        <x:v>Export permission should be role-based.</x:v>
      </x:c>
      <x:c r="I74" s="31" t="str">
        <x:v>Gym Staff / Gym Owner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8a5da99c6e046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60" hidden="0" customWidth="1"/>
    <x:col min="4" max="4" width="24" hidden="0" customWidth="1"/>
    <x:col min="5" max="5" width="18" hidden="0" customWidth="1"/>
  </x:cols>
  <x:sheetData>
    <x:row r="1" ht="26" customHeight="1">
      <x:c r="A1" s="7" t="str">
        <x:v>KEY PROCESS TO FEATURE MAPPING</x:v>
      </x:c>
      <x:c r="B1" s="7"/>
      <x:c r="C1" s="7"/>
      <x:c r="D1" s="7"/>
      <x:c r="E1" s="7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4" customHeight="1">
      <x:c r="A2" s="15" t="str">
        <x:v>Each listed process is mapped to smaller atomic features in the Feature List sheet.</x:v>
      </x:c>
      <x:c r="B2" s="15"/>
      <x:c r="C2" s="15"/>
      <x:c r="D2" s="15"/>
      <x:c r="E2" s="15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8" customHeight="1">
      <x:c r="A4" s="24" t="str">
        <x:v>#</x:v>
      </x:c>
      <x:c r="B4" s="24" t="str">
        <x:v>Key Process in English</x:v>
      </x:c>
      <x:c r="C4" s="24" t="str">
        <x:v>Process Coverage</x:v>
      </x:c>
      <x:c r="D4" s="24" t="str">
        <x:v>Feature IDs</x:v>
      </x:c>
      <x:c r="E4" s="24" t="str">
        <x:v>Coverage Status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1" t="n">
        <x:v>1</x:v>
      </x:c>
      <x:c r="B5" s="31" t="str">
        <x:v>Customer membership registration and counter activation</x:v>
      </x:c>
      <x:c r="C5" s="31" t="str">
        <x:v>Create or find customer account; select package; create membership record; calculate validity; dispatch activation notice.</x:v>
      </x:c>
      <x:c r="D5" s="31" t="str">
        <x:v>15, 16, 17, 18, 19, 20</x:v>
      </x:c>
      <x:c r="E5" s="31" t="str">
        <x:f>IF(D5&lt;&gt;"","Covered","Missing")</x:f>
        <x:v>Covered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1" t="n">
        <x:v>2</x:v>
      </x:c>
      <x:c r="B6" s="31" t="str">
        <x:v>PT account registration and approval</x:v>
      </x:c>
      <x:c r="C6" s="31" t="str">
        <x:v>Submit PT account request, attach qualifications, review, approve or reject, and enable PT sign-in.</x:v>
      </x:c>
      <x:c r="D6" s="31" t="str">
        <x:v>5, 6, 7, 8, 9, 10</x:v>
      </x:c>
      <x:c r="E6" s="31" t="str">
        <x:f>IF(D6&lt;&gt;"","Covered","Missing")</x:f>
        <x:v>Covered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1" t="n">
        <x:v>3</x:v>
      </x:c>
      <x:c r="B7" s="31" t="str">
        <x:v>Content posting and notification publishing</x:v>
      </x:c>
      <x:c r="C7" s="31" t="str">
        <x:v>Create draft, preview content, choose audience, publish notification, and deliver through selected channels.</x:v>
      </x:c>
      <x:c r="D7" s="31" t="str">
        <x:v>33, 34, 35, 36</x:v>
      </x:c>
      <x:c r="E7" s="31" t="str">
        <x:f>IF(D7&lt;&gt;"","Covered","Missing")</x:f>
        <x:v>Covered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1" t="n">
        <x:v>4</x:v>
      </x:c>
      <x:c r="B8" s="31" t="str">
        <x:v>Notification removal</x:v>
      </x:c>
      <x:c r="C8" s="31" t="str">
        <x:v>Hide notification from active views or delete/archive according to policy.</x:v>
      </x:c>
      <x:c r="D8" s="31" t="str">
        <x:v>41, 42</x:v>
      </x:c>
      <x:c r="E8" s="31" t="str">
        <x:f>IF(D8&lt;&gt;"","Covered","Missing")</x:f>
        <x:v>Covered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1" t="n">
        <x:v>5</x:v>
      </x:c>
      <x:c r="B9" s="31" t="str">
        <x:v>Customer PT package registration</x:v>
      </x:c>
      <x:c r="C9" s="31" t="str">
        <x:v>View PT information, view PT package, submit PT package booking request.</x:v>
      </x:c>
      <x:c r="D9" s="31" t="str">
        <x:v>43, 44, 48</x:v>
      </x:c>
      <x:c r="E9" s="31" t="str">
        <x:f>IF(D9&lt;&gt;"","Covered","Missing")</x:f>
        <x:v>Covered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1" t="n">
        <x:v>6</x:v>
      </x:c>
      <x:c r="B10" s="31" t="str">
        <x:v>PT booking confirmation</x:v>
      </x:c>
      <x:c r="C10" s="31" t="str">
        <x:v>PT views requests, inspects details, accepts/rejects, system creates assignment, and sends booking result notice.</x:v>
      </x:c>
      <x:c r="D10" s="31" t="str">
        <x:v>49, 50, 51, 52, 53, 54</x:v>
      </x:c>
      <x:c r="E10" s="31" t="str">
        <x:f>IF(D10&lt;&gt;"","Covered","Missing")</x:f>
        <x:v>Covered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1" t="n">
        <x:v>7</x:v>
      </x:c>
      <x:c r="B11" s="31" t="str">
        <x:v>PT creates customer training schedule in the system</x:v>
      </x:c>
      <x:c r="C11" s="31" t="str">
        <x:v>PT selects date/time, system checks conflict, system creates schedule record.</x:v>
      </x:c>
      <x:c r="D11" s="31" t="str">
        <x:v>55, 56, 57</x:v>
      </x:c>
      <x:c r="E11" s="31" t="str">
        <x:f>IF(D11&lt;&gt;"","Covered","Missing")</x:f>
        <x:v>Covered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1" t="n">
        <x:v>8</x:v>
      </x:c>
      <x:c r="B12" s="31" t="str">
        <x:v>Customer account creation</x:v>
      </x:c>
      <x:c r="C12" s="31" t="str">
        <x:v>Customer or staff creates account with required information.</x:v>
      </x:c>
      <x:c r="D12" s="31" t="str">
        <x:v>1, 16</x:v>
      </x:c>
      <x:c r="E12" s="31" t="str">
        <x:f>IF(D12&lt;&gt;"","Covered","Missing")</x:f>
        <x:v>Covered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1" t="n">
        <x:v>9</x:v>
      </x:c>
      <x:c r="B13" s="31" t="str">
        <x:v>Customer account login</x:v>
      </x:c>
      <x:c r="C13" s="31" t="str">
        <x:v>Customer authenticates and enters the customer web page.</x:v>
      </x:c>
      <x:c r="D13" s="31" t="str">
        <x:v>2</x:v>
      </x:c>
      <x:c r="E13" s="31" t="str">
        <x:f>IF(D13&lt;&gt;"","Covered","Missing")</x:f>
        <x:v>Covered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1" t="n">
        <x:v>10</x:v>
      </x:c>
      <x:c r="B14" s="31" t="str">
        <x:v>Customer account profile update</x:v>
      </x:c>
      <x:c r="C14" s="31" t="str">
        <x:v>Customer views and updates personal information.</x:v>
      </x:c>
      <x:c r="D14" s="31" t="str">
        <x:v>3, 4</x:v>
      </x:c>
      <x:c r="E14" s="31" t="str">
        <x:f>IF(D14&lt;&gt;"","Covered","Missing")</x:f>
        <x:v>Covered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1" t="n">
        <x:v>11</x:v>
      </x:c>
      <x:c r="B15" s="31" t="str">
        <x:v>Customer check-in by QR</x:v>
      </x:c>
      <x:c r="C15" s="31" t="str">
        <x:v>Scan QR, validate membership, create check-in record, or show rejection reason.</x:v>
      </x:c>
      <x:c r="D15" s="31" t="str">
        <x:v>25, 26, 27, 28</x:v>
      </x:c>
      <x:c r="E15" s="31" t="str">
        <x:f>IF(D15&lt;&gt;"","Covered","Missing")</x:f>
        <x:v>Covered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1" t="n">
        <x:v>12</x:v>
      </x:c>
      <x:c r="B16" s="31" t="str">
        <x:v>Customer check-out by QR</x:v>
      </x:c>
      <x:c r="C16" s="31" t="str">
        <x:v>Scan QR, find open session, update check-out time, or show exception message.</x:v>
      </x:c>
      <x:c r="D16" s="31" t="str">
        <x:v>29, 30, 31, 32</x:v>
      </x:c>
      <x:c r="E16" s="31" t="str">
        <x:f>IF(D16&lt;&gt;"","Covered","Missing")</x:f>
        <x:v>Covered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1" t="n">
        <x:v>13</x:v>
      </x:c>
      <x:c r="B17" s="31" t="str">
        <x:v>PT records customer training session</x:v>
      </x:c>
      <x:c r="C17" s="31" t="str">
        <x:v>PT records status, adds notes, and users see session history according to role.</x:v>
      </x:c>
      <x:c r="D17" s="31" t="str">
        <x:v>62, 63, 64</x:v>
      </x:c>
      <x:c r="E17" s="31" t="str">
        <x:f>IF(D17&lt;&gt;"","Covered","Missing")</x:f>
        <x:v>Covered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1" t="n">
        <x:v>14</x:v>
      </x:c>
      <x:c r="B18" s="31" t="str">
        <x:v>Customer views training schedule</x:v>
      </x:c>
      <x:c r="C18" s="31" t="str">
        <x:v>Customer sees list and detail of own training sessions.</x:v>
      </x:c>
      <x:c r="D18" s="31" t="str">
        <x:v>58, 59</x:v>
      </x:c>
      <x:c r="E18" s="31" t="str">
        <x:f>IF(D18&lt;&gt;"","Covered","Missing")</x:f>
        <x:v>Covered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1" t="n">
        <x:v>15</x:v>
      </x:c>
      <x:c r="B19" s="31" t="str">
        <x:v>PT views teaching schedule</x:v>
      </x:c>
      <x:c r="C19" s="31" t="str">
        <x:v>PT sees teaching calendar and session detail.</x:v>
      </x:c>
      <x:c r="D19" s="31" t="str">
        <x:v>60, 61</x:v>
      </x:c>
      <x:c r="E19" s="31" t="str">
        <x:f>IF(D19&lt;&gt;"","Covered","Missing")</x:f>
        <x:v>Covered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E1"/>
    <x:mergeCell ref="A2:E2"/>
  </x:mergeCells>
  <x:conditionalFormatting sqref="E5:E19">
    <x:cfRule type="cellIs" dxfId="0" priority="1">
      <x:formula>"Covered"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1e2f2bcf7145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4" max="4" width="24" hidden="0" customWidth="1"/>
    <x:col min="5" max="5" width="65" hidden="0" customWidth="1"/>
  </x:cols>
  <x:sheetData>
    <x:row r="1">
      <x:c r="A1" s="2" t="str">
        <x:v>Please do not edit this sheet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8" customHeight="1">
      <x:c r="A3" s="24" t="str">
        <x:v>Module List</x:v>
      </x:c>
      <x:c r="B3" s="24" t="str">
        <x:v>Actor / Service List</x:v>
      </x:c>
      <x:c r="C3" s="2"/>
      <x:c r="D3" s="24" t="str">
        <x:v>Revision Note</x:v>
      </x:c>
      <x:c r="E3" s="24" t="str">
        <x:v>Detail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1" t="str">
        <x:v>Account &amp; Authentication</x:v>
      </x:c>
      <x:c r="B4" s="31" t="str">
        <x:v>Customer</x:v>
      </x:c>
      <x:c r="C4" s="2"/>
      <x:c r="D4" s="31" t="str">
        <x:v>Main change</x:v>
      </x:c>
      <x:c r="E4" s="31" t="str">
        <x:v>Generic "manage" feature wording replaced with atomic actions such as create, view, update, approve, reject, scan, validate, dispatch, record, filter, and export.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1" t="str">
        <x:v>Check-in/Checkout</x:v>
      </x:c>
      <x:c r="B5" s="31" t="str">
        <x:v>Gym Owner</x:v>
      </x:c>
      <x:c r="C5" s="2"/>
      <x:c r="D5" s="31" t="str">
        <x:v>Source basis</x:v>
      </x:c>
      <x:c r="E5" s="31" t="str">
        <x:v>Context diagram, key process list, and sample feature list structure.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1" t="str">
        <x:v>Customer Information</x:v>
      </x:c>
      <x:c r="B6" s="31" t="str">
        <x:v>Gym Staff</x:v>
      </x:c>
      <x:c r="C6" s="2"/>
      <x:c r="D6" s="31" t="str">
        <x:v>Language</x:v>
      </x:c>
      <x:c r="E6" s="31" t="str">
        <x:v>English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1" t="str">
        <x:v>Customer Profile</x:v>
      </x:c>
      <x:c r="B7" s="31" t="str">
        <x:v>Personal Trainer</x:v>
      </x:c>
      <x:c r="C7" s="2"/>
      <x:c r="D7" s="31" t="str">
        <x:v>Feature granularity</x:v>
      </x:c>
      <x:c r="E7" s="31" t="str">
        <x:v>One row should represent one small function or screen action.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1" t="str">
        <x:v>Membership</x:v>
      </x:c>
      <x:c r="B8" s="31" t="str">
        <x:v>System</x:v>
      </x:c>
      <x:c r="C8" s="2"/>
      <x:c r="D8" s="31" t="str">
        <x:v>Excluded wording</x:v>
      </x:c>
      <x:c r="E8" s="31" t="str">
        <x:v>Avoid generic "manage" in feature names.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1" t="str">
        <x:v>Membership QR</x:v>
      </x:c>
      <x:c r="B9" s="31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1" t="str">
        <x:v>Notification</x:v>
      </x:c>
      <x:c r="B10" s="3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1" t="str">
        <x:v>PT Account</x:v>
      </x:c>
      <x:c r="B11" s="31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1" t="str">
        <x:v>PT Booking</x:v>
      </x:c>
      <x:c r="B12" s="31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1" t="str">
        <x:v>PT Discovery</x:v>
      </x:c>
      <x:c r="B13" s="3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1" t="str">
        <x:v>PT Package</x:v>
      </x:c>
      <x:c r="B14" s="31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1" t="str">
        <x:v>PT Profile</x:v>
      </x:c>
      <x:c r="B15" s="3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1" t="str">
        <x:v>Report</x:v>
      </x:c>
      <x:c r="B16" s="3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1" t="str">
        <x:v>Training Schedule</x:v>
      </x:c>
      <x:c r="B17" s="3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1" t="str">
        <x:v>Training Session</x:v>
      </x:c>
      <x:c r="B18" s="31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</x:worksheet>
</file>